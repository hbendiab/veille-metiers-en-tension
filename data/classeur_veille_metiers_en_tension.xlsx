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onfig_metiers_zones" sheetId="2" state="visible" r:id="rId4"/>
    <sheet name="offres" sheetId="3" state="visible" r:id="rId5"/>
    <sheet name="entreprises_potentiel" sheetId="4" state="visible" r:id="rId6"/>
    <sheet name="formations" sheetId="5" state="visible" r:id="rId7"/>
    <sheet name="indicateurs_live" sheetId="6" state="visible" r:id="rId8"/>
    <sheet name="historique_hebdo" sheetId="7" state="visible" r:id="rId9"/>
    <sheet name="journal_sources" sheetId="8" state="visible" r:id="rId10"/>
    <sheet name="erreurs" sheetId="9" state="visible" r:id="rId11"/>
    <sheet name="dictionnair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<sst xmlns="http://schemas.openxmlformats.org/spreadsheetml/2006/main" count="188" uniqueCount="133">
  <si>
    <t xml:space="preserve">Veille du marché des métiers en tension — classeur de travail</t>
  </si>
  <si>
    <t xml:space="preserve">Objectif</t>
  </si>
  <si>
    <t xml:space="preserve">Stocker les offres, entreprises à fort potentiel d'embauche et formations collectées chaque semaine par n8n, calculer des indicateurs de tension et garder un historique daté.</t>
  </si>
  <si>
    <t xml:space="preserve">Périmètre du rendu</t>
  </si>
  <si>
    <t xml:space="preserve">4 métiers (électricien du bâtiment, plombier, mécanicien automobile, mécanicien poids lourd) x 2 zones (Île-de-France, Lyon).</t>
  </si>
  <si>
    <t xml:space="preserve">Cellules à modifier</t>
  </si>
  <si>
    <t xml:space="preserve">Police BLEUE = valeur saisie à la main (onglet config_metiers_zones). Fond JAUNE = point à vérifier avant de lancer la collecte.</t>
  </si>
  <si>
    <t xml:space="preserve">Formules</t>
  </si>
  <si>
    <t xml:space="preserve">L'onglet indicateurs_live se recalcule seul à partir de l'onglet offres. Ne rien saisir dedans.</t>
  </si>
  <si>
    <t xml:space="preserve">Remplis par n8n</t>
  </si>
  <si>
    <t xml:space="preserve">offres, entreprises_potentiel, formations, historique_hebdo, journal_sources, erreurs. Voir le dictionnaire pour le format de chaque colonne.</t>
  </si>
  <si>
    <t xml:space="preserve">Données personnelles</t>
  </si>
  <si>
    <t xml:space="preserve">Aucune colonne pour un nom de contact, un email ou un téléphone : ne pas copier ces champs des offres.</t>
  </si>
  <si>
    <t xml:space="preserve">Indicateurs</t>
  </si>
  <si>
    <t xml:space="preserve">Ce sont des indicateurs de tension, pas une mesure directe de la pénurie. Les offres France Travail ne couvrent qu'une partie du marché.</t>
  </si>
  <si>
    <t xml:space="preserve">Source des données</t>
  </si>
  <si>
    <t xml:space="preserve">France Travail (francetravail.io) : API Offres d'emploi, La Bonne Boîte, Open Formation. Mentionner la source et respecter la licence de réutilisation.</t>
  </si>
  <si>
    <t xml:space="preserve">Métiers suivis</t>
  </si>
  <si>
    <t xml:space="preserve">metier</t>
  </si>
  <si>
    <t xml:space="preserve">code_rome</t>
  </si>
  <si>
    <t xml:space="preserve">mots_cles_filtre</t>
  </si>
  <si>
    <t xml:space="preserve">actif</t>
  </si>
  <si>
    <t xml:space="preserve">a_verifier</t>
  </si>
  <si>
    <t xml:space="preserve">Électricien du bâtiment</t>
  </si>
  <si>
    <t xml:space="preserve">F1602</t>
  </si>
  <si>
    <t xml:space="preserve">Code confirmé par plusieurs listes ROME</t>
  </si>
  <si>
    <t xml:space="preserve">Plombier</t>
  </si>
  <si>
    <t xml:space="preserve">F1603</t>
  </si>
  <si>
    <t xml:space="preserve">Code confirmé (Installation d'équipements sanitaires et thermiques)</t>
  </si>
  <si>
    <t xml:space="preserve">Mécanicien automobile</t>
  </si>
  <si>
    <t xml:space="preserve">I1604</t>
  </si>
  <si>
    <t xml:space="preserve">Code confirmé. Attention : les offres poids lourd peuvent aussi apparaître sous ce code</t>
  </si>
  <si>
    <t xml:space="preserve">Mécanicien poids lourd</t>
  </si>
  <si>
    <t xml:space="preserve">poids lourd</t>
  </si>
  <si>
    <t xml:space="preserve">SOURCES CONTRADICTOIRES : I1604 (avec mot-clé) ou I1613. Vérifier dans le référentiel métiers de l'API avant la collecte</t>
  </si>
  <si>
    <t xml:space="preserve">Zones suivies</t>
  </si>
  <si>
    <t xml:space="preserve">zone</t>
  </si>
  <si>
    <t xml:space="preserve">type_filtre</t>
  </si>
  <si>
    <t xml:space="preserve">code</t>
  </si>
  <si>
    <t xml:space="preserve">Île-de-France</t>
  </si>
  <si>
    <t xml:space="preserve">region</t>
  </si>
  <si>
    <t xml:space="preserve">11</t>
  </si>
  <si>
    <t xml:space="preserve">Code région INSEE à confirmer dans le référentiel de l'API</t>
  </si>
  <si>
    <t xml:space="preserve">Lyon (Rhône)</t>
  </si>
  <si>
    <t xml:space="preserve">departement</t>
  </si>
  <si>
    <t xml:space="preserve">69</t>
  </si>
  <si>
    <t xml:space="preserve">Département entier. Pour Lyon seule, l'API demande les codes d'arrondissement (693 81 à 69389), à confirmer</t>
  </si>
  <si>
    <t xml:space="preserve">Limites techniques notées (à revérifier sur la doc officielle) : 150 résultats par page, index de départ maximum 3000, environ 10 appels par seconde pour l'API Offres, 2 par seconde pour La Bonne Boîte.</t>
  </si>
  <si>
    <t xml:space="preserve">id_offre</t>
  </si>
  <si>
    <t xml:space="preserve">date_collecte</t>
  </si>
  <si>
    <t xml:space="preserve">intitule</t>
  </si>
  <si>
    <t xml:space="preserve">entreprise</t>
  </si>
  <si>
    <t xml:space="preserve">lieu</t>
  </si>
  <si>
    <t xml:space="preserve">type_contrat</t>
  </si>
  <si>
    <t xml:space="preserve">salaire_libelle</t>
  </si>
  <si>
    <t xml:space="preserve">salaire_renseigne</t>
  </si>
  <si>
    <t xml:space="preserve">date_creation</t>
  </si>
  <si>
    <t xml:space="preserve">age_jours</t>
  </si>
  <si>
    <t xml:space="preserve">republication</t>
  </si>
  <si>
    <t xml:space="preserve">statut</t>
  </si>
  <si>
    <t xml:space="preserve">url_offre</t>
  </si>
  <si>
    <t xml:space="preserve">siret</t>
  </si>
  <si>
    <t xml:space="preserve">commune</t>
  </si>
  <si>
    <t xml:space="preserve">code_naf</t>
  </si>
  <si>
    <t xml:space="preserve">potentiel_embauche</t>
  </si>
  <si>
    <t xml:space="preserve">source</t>
  </si>
  <si>
    <t xml:space="preserve">organisme</t>
  </si>
  <si>
    <t xml:space="preserve">intitule_formation</t>
  </si>
  <si>
    <t xml:space="preserve">niveau_diplome</t>
  </si>
  <si>
    <t xml:space="preserve">nb_sessions</t>
  </si>
  <si>
    <t xml:space="preserve">Indicateurs calculés à partir de l'onglet offres (formules, ne rien saisir)</t>
  </si>
  <si>
    <t xml:space="preserve">offres_actives</t>
  </si>
  <si>
    <t xml:space="preserve">age_moyen_jours</t>
  </si>
  <si>
    <t xml:space="preserve">offres_republiees</t>
  </si>
  <si>
    <t xml:space="preserve">taux_salaire_renseigne</t>
  </si>
  <si>
    <t xml:space="preserve">part_offres_plus_30_jours</t>
  </si>
  <si>
    <t xml:space="preserve">Lecture : un âge moyen élevé et une forte part d'offres de plus de 30 jours signalent une difficulté à recruter. Un taux de salaire renseigné faible limite la fiabilité des comparaisons de salaires. Seuil de 30 jours = hypothèse de travail à ajuster.</t>
  </si>
  <si>
    <t xml:space="preserve">date_snapshot</t>
  </si>
  <si>
    <t xml:space="preserve">nb_entreprises_potentiel</t>
  </si>
  <si>
    <t xml:space="preserve">nb_organismes_formation</t>
  </si>
  <si>
    <t xml:space="preserve">sources_manquantes</t>
  </si>
  <si>
    <t xml:space="preserve">date_run</t>
  </si>
  <si>
    <t xml:space="preserve">id_run</t>
  </si>
  <si>
    <t xml:space="preserve">resultat</t>
  </si>
  <si>
    <t xml:space="preserve">nb_resultats</t>
  </si>
  <si>
    <t xml:space="preserve">message</t>
  </si>
  <si>
    <t xml:space="preserve">date</t>
  </si>
  <si>
    <t xml:space="preserve">workflow</t>
  </si>
  <si>
    <t xml:space="preserve">etape</t>
  </si>
  <si>
    <t xml:space="preserve">alerte_envoyee</t>
  </si>
  <si>
    <t xml:space="preserve">onglet</t>
  </si>
  <si>
    <t xml:space="preserve">colonne</t>
  </si>
  <si>
    <t xml:space="preserve">description</t>
  </si>
  <si>
    <t xml:space="preserve">exemple de format</t>
  </si>
  <si>
    <t xml:space="preserve">offres</t>
  </si>
  <si>
    <t xml:space="preserve">Identifiant de l'offre chez France Travail, sert au dédoublonnage</t>
  </si>
  <si>
    <t xml:space="preserve">048KLTP</t>
  </si>
  <si>
    <t xml:space="preserve">Date du run n8n qui a vu l'offre</t>
  </si>
  <si>
    <t xml:space="preserve">2026-10-05</t>
  </si>
  <si>
    <t xml:space="preserve">metier / zone</t>
  </si>
  <si>
    <t xml:space="preserve">Valeurs des listes de config_metiers_zones</t>
  </si>
  <si>
    <t xml:space="preserve">Plombier / Lyon (Rhône)</t>
  </si>
  <si>
    <t xml:space="preserve">Intitulé publié dans l'offre</t>
  </si>
  <si>
    <t xml:space="preserve">Plombier chauffagiste H/F</t>
  </si>
  <si>
    <t xml:space="preserve">Nom de l'entreprise si l'offre le donne, sinon vide (pas de nom de contact)</t>
  </si>
  <si>
    <t xml:space="preserve">Dupont Installations</t>
  </si>
  <si>
    <t xml:space="preserve">Texte du salaire tel que publié, vide si non renseigné</t>
  </si>
  <si>
    <t xml:space="preserve">Mensuel de 2100 à 2600 Euros</t>
  </si>
  <si>
    <t xml:space="preserve">VRAI si un salaire est publié. Un salaire absent n'est pas un salaire nul</t>
  </si>
  <si>
    <t xml:space="preserve">TRUE</t>
  </si>
  <si>
    <t xml:space="preserve">Date de première publication</t>
  </si>
  <si>
    <t xml:space="preserve">2026-09-12</t>
  </si>
  <si>
    <t xml:space="preserve">Date de collecte moins date de création</t>
  </si>
  <si>
    <t xml:space="preserve">23</t>
  </si>
  <si>
    <t xml:space="preserve">VRAI si la même offre (entreprise + intitulé + lieu) réapparaît avec un nouvel identifiant</t>
  </si>
  <si>
    <t xml:space="preserve">FALSE</t>
  </si>
  <si>
    <t xml:space="preserve">active ou expirée (offre disparue de l'API au run suivant)</t>
  </si>
  <si>
    <t xml:space="preserve">active</t>
  </si>
  <si>
    <t xml:space="preserve">entreprises_potentiel</t>
  </si>
  <si>
    <t xml:space="preserve">Score renvoyé par La Bonne Boîte, tel quel</t>
  </si>
  <si>
    <t xml:space="preserve">4.2</t>
  </si>
  <si>
    <t xml:space="preserve">formations</t>
  </si>
  <si>
    <t xml:space="preserve">Nombre de sessions à venir pour cette formation dans la zone</t>
  </si>
  <si>
    <t xml:space="preserve">3</t>
  </si>
  <si>
    <t xml:space="preserve">historique_hebdo</t>
  </si>
  <si>
    <t xml:space="preserve">*</t>
  </si>
  <si>
    <t xml:space="preserve">Une ligne par métier et par zone à chaque run hebdomadaire, valeurs copiées depuis indicateurs_live</t>
  </si>
  <si>
    <t xml:space="preserve">2026-10-05 / Plombier / Île-de-France / 118 / ...</t>
  </si>
  <si>
    <t xml:space="preserve">journal_sources</t>
  </si>
  <si>
    <t xml:space="preserve">ok, echec ou desactivee</t>
  </si>
  <si>
    <t xml:space="preserve">ok</t>
  </si>
  <si>
    <t xml:space="preserve">Message d'erreur de l'API en cas d'échec</t>
  </si>
  <si>
    <t xml:space="preserve">403 API non souscrite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</si>
</sst>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42" hidden="false" customHeight="true" outlineLevel="0" collapsed="false">
      <c r="A3" s="3" t="s">
        <v>1</v>
      </c>
      <c r="B3" s="4" t="s">
        <v>2</v>
      </c>
    </row>
    <row r="4" customFormat="false" ht="42" hidden="false" customHeight="true" outlineLevel="0" collapsed="false">
      <c r="A4" s="3" t="s">
        <v>3</v>
      </c>
      <c r="B4" s="4" t="s">
        <v>4</v>
      </c>
    </row>
    <row r="5" customFormat="false" ht="42" hidden="false" customHeight="true" outlineLevel="0" collapsed="false">
      <c r="A5" s="3" t="s">
        <v>5</v>
      </c>
      <c r="B5" s="4" t="s">
        <v>6</v>
      </c>
    </row>
    <row r="6" customFormat="false" ht="42" hidden="false" customHeight="true" outlineLevel="0" collapsed="false">
      <c r="A6" s="3" t="s">
        <v>7</v>
      </c>
      <c r="B6" s="4" t="s">
        <v>8</v>
      </c>
    </row>
    <row r="7" customFormat="false" ht="42" hidden="false" customHeight="true" outlineLevel="0" collapsed="false">
      <c r="A7" s="3" t="s">
        <v>9</v>
      </c>
      <c r="B7" s="4" t="s">
        <v>10</v>
      </c>
    </row>
    <row r="8" customFormat="false" ht="42" hidden="false" customHeight="true" outlineLevel="0" collapsed="false">
      <c r="A8" s="3" t="s">
        <v>11</v>
      </c>
      <c r="B8" s="4" t="s">
        <v>12</v>
      </c>
    </row>
    <row r="9" customFormat="false" ht="42" hidden="false" customHeight="true" outlineLevel="0" collapsed="false">
      <c r="A9" s="3" t="s">
        <v>13</v>
      </c>
      <c r="B9" s="4" t="s">
        <v>14</v>
      </c>
    </row>
    <row r="10" customFormat="false" ht="42" hidden="false" customHeight="true" outlineLevel="0" collapsed="false">
      <c r="A10" s="3" t="s">
        <v>15</v>
      </c>
      <c r="B1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3" t="s">
        <v>17</v>
      </c>
      <c r="B1" s="2"/>
      <c r="C1" s="2"/>
      <c r="D1" s="2"/>
      <c r="E1" s="2"/>
    </row>
    <row r="2" customFormat="false" ht="1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</row>
    <row r="3" customFormat="false" ht="15" hidden="false" customHeight="false" outlineLevel="0" collapsed="false">
      <c r="A3" s="6" t="s">
        <v>23</v>
      </c>
      <c r="B3" s="6" t="s">
        <v>24</v>
      </c>
      <c r="C3" s="6"/>
      <c r="D3" s="7" t="b">
        <f aca="false">TRUE()</f>
        <v>1</v>
      </c>
      <c r="E3" s="8" t="s">
        <v>25</v>
      </c>
    </row>
    <row r="4" customFormat="false" ht="15" hidden="false" customHeight="false" outlineLevel="0" collapsed="false">
      <c r="A4" s="6" t="s">
        <v>26</v>
      </c>
      <c r="B4" s="6" t="s">
        <v>27</v>
      </c>
      <c r="C4" s="6"/>
      <c r="D4" s="7" t="b">
        <f aca="false">TRUE()</f>
        <v>1</v>
      </c>
      <c r="E4" s="8" t="s">
        <v>28</v>
      </c>
    </row>
    <row r="5" customFormat="false" ht="15" hidden="false" customHeight="false" outlineLevel="0" collapsed="false">
      <c r="A5" s="6" t="s">
        <v>29</v>
      </c>
      <c r="B5" s="6" t="s">
        <v>30</v>
      </c>
      <c r="C5" s="6"/>
      <c r="D5" s="7" t="b">
        <f aca="false">TRUE()</f>
        <v>1</v>
      </c>
      <c r="E5" s="8" t="s">
        <v>31</v>
      </c>
    </row>
    <row r="6" customFormat="false" ht="23.85" hidden="false" customHeight="false" outlineLevel="0" collapsed="false">
      <c r="A6" s="6" t="s">
        <v>32</v>
      </c>
      <c r="B6" s="6" t="s">
        <v>30</v>
      </c>
      <c r="C6" s="6" t="s">
        <v>33</v>
      </c>
      <c r="D6" s="7" t="b">
        <f aca="false">TRUE()</f>
        <v>1</v>
      </c>
      <c r="E6" s="9" t="s">
        <v>34</v>
      </c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3" t="s">
        <v>35</v>
      </c>
      <c r="B9" s="2"/>
      <c r="C9" s="2"/>
      <c r="D9" s="2"/>
      <c r="E9" s="2"/>
    </row>
    <row r="10" customFormat="false" ht="15" hidden="false" customHeight="false" outlineLevel="0" collapsed="false">
      <c r="A10" s="10" t="s">
        <v>36</v>
      </c>
      <c r="B10" s="10" t="s">
        <v>37</v>
      </c>
      <c r="C10" s="10" t="s">
        <v>38</v>
      </c>
      <c r="D10" s="10" t="s">
        <v>21</v>
      </c>
      <c r="E10" s="10" t="s">
        <v>22</v>
      </c>
    </row>
    <row r="11" customFormat="false" ht="15" hidden="false" customHeight="false" outlineLevel="0" collapsed="false">
      <c r="A11" s="6" t="s">
        <v>39</v>
      </c>
      <c r="B11" s="6" t="s">
        <v>40</v>
      </c>
      <c r="C11" s="6" t="s">
        <v>41</v>
      </c>
      <c r="D11" s="7" t="b">
        <f aca="false">TRUE()</f>
        <v>1</v>
      </c>
      <c r="E11" s="9" t="s">
        <v>42</v>
      </c>
    </row>
    <row r="12" customFormat="false" ht="15" hidden="false" customHeight="false" outlineLevel="0" collapsed="false">
      <c r="A12" s="6" t="s">
        <v>43</v>
      </c>
      <c r="B12" s="6" t="s">
        <v>44</v>
      </c>
      <c r="C12" s="6" t="s">
        <v>45</v>
      </c>
      <c r="D12" s="7" t="b">
        <f aca="false">TRUE()</f>
        <v>1</v>
      </c>
      <c r="E12" s="9" t="s">
        <v>46</v>
      </c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11" t="s">
        <v>47</v>
      </c>
      <c r="B14" s="2"/>
      <c r="C14" s="2"/>
      <c r="D14" s="2"/>
      <c r="E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12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40"/>
  </cols>
  <sheetData>
    <row r="1" customFormat="false" ht="30" hidden="false" customHeight="true" outlineLevel="0" collapsed="false">
      <c r="A1" s="5" t="s">
        <v>48</v>
      </c>
      <c r="B1" s="5" t="s">
        <v>49</v>
      </c>
      <c r="C1" s="5" t="s">
        <v>18</v>
      </c>
      <c r="D1" s="5" t="s">
        <v>36</v>
      </c>
      <c r="E1" s="5" t="s">
        <v>19</v>
      </c>
      <c r="F1" s="5" t="s">
        <v>50</v>
      </c>
      <c r="G1" s="5" t="s">
        <v>51</v>
      </c>
      <c r="H1" s="5" t="s">
        <v>52</v>
      </c>
      <c r="I1" s="5" t="s">
        <v>44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</sheetData>
  <dataValidations count="3">
    <dataValidation allowBlank="true" errorStyle="stop" operator="between" showDropDown="false" showErrorMessage="false" showInputMessage="false" sqref="C2:C1001" type="list">
      <formula1>config_metiers_zones!$A$3:$A$6</formula1>
      <formula2>0</formula2>
    </dataValidation>
    <dataValidation allowBlank="true" errorStyle="stop" operator="between" showDropDown="false" showErrorMessage="false" showInputMessage="false" sqref="D2:D1001" type="list">
      <formula1>config_metiers_zones!$A$11:$A$12</formula1>
      <formula2>0</formula2>
    </dataValidation>
    <dataValidation allowBlank="true" errorStyle="stop" operator="between" showDropDown="false" showErrorMessage="false" showInputMessage="false" sqref="P2:P1001" type="list">
      <formula1>"active,expirée"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30" hidden="false" customHeight="true" outlineLevel="0" collapsed="false">
      <c r="A1" s="5" t="s">
        <v>49</v>
      </c>
      <c r="B1" s="5" t="s">
        <v>18</v>
      </c>
      <c r="C1" s="5" t="s">
        <v>36</v>
      </c>
      <c r="D1" s="5" t="s">
        <v>51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65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30" hidden="false" customHeight="true" outlineLevel="0" collapsed="false">
      <c r="A1" s="5" t="s">
        <v>49</v>
      </c>
      <c r="B1" s="5" t="s">
        <v>18</v>
      </c>
      <c r="C1" s="5" t="s">
        <v>36</v>
      </c>
      <c r="D1" s="5" t="s">
        <v>66</v>
      </c>
      <c r="E1" s="5" t="s">
        <v>67</v>
      </c>
      <c r="F1" s="5" t="s">
        <v>68</v>
      </c>
      <c r="G1" s="5" t="s">
        <v>62</v>
      </c>
      <c r="H1" s="5" t="s">
        <v>69</v>
      </c>
      <c r="I1" s="5" t="s">
        <v>65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3" t="s">
        <v>70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5" t="s">
        <v>18</v>
      </c>
      <c r="B3" s="5" t="s">
        <v>36</v>
      </c>
      <c r="C3" s="5" t="s">
        <v>71</v>
      </c>
      <c r="D3" s="5" t="s">
        <v>72</v>
      </c>
      <c r="E3" s="5" t="s">
        <v>73</v>
      </c>
      <c r="F3" s="5" t="s">
        <v>74</v>
      </c>
      <c r="G3" s="5" t="s">
        <v>75</v>
      </c>
    </row>
    <row r="4" customFormat="false" ht="15" hidden="false" customHeight="false" outlineLevel="0" collapsed="false">
      <c r="A4" s="12" t="str">
        <f aca="false">config_metiers_zones!$A$3</f>
        <v>Électricien du bâtiment</v>
      </c>
      <c r="B4" s="12" t="str">
        <f aca="false">config_metiers_zones!$A$11</f>
        <v>Île-de-France</v>
      </c>
      <c r="C4" s="13" t="n">
        <f aca="false">COUNTIFS(offres!$C$2:$C$5000,$A4,offres!$D$2:$D$5000,$B4,offres!$P$2:$P$5000,"active")</f>
        <v>0</v>
      </c>
      <c r="D4" s="14" t="str">
        <f aca="false">IFERROR(AVERAGEIFS(offres!$N$2:$N$5000,offres!$C$2:$C$5000,$A4,offres!$D$2:$D$5000,$B4,offres!$P$2:$P$5000,"active"),"")</f>
        <v/>
      </c>
      <c r="E4" s="13" t="n">
        <f aca="false">COUNTIFS(offres!$C$2:$C$5000,$A4,offres!$D$2:$D$5000,$B4,offres!$P$2:$P$5000,"active",offres!$O$2:$O$5000,TRUE())</f>
        <v>0</v>
      </c>
      <c r="F4" s="15" t="str">
        <f aca="false">IF($C4=0,"",COUNTIFS(offres!$C$2:$C$5000,$A4,offres!$D$2:$D$5000,$B4,offres!$P$2:$P$5000,"active",offres!$L$2:$L$5000,TRUE())/$C4)</f>
        <v/>
      </c>
      <c r="G4" s="15" t="str">
        <f aca="false">IF($C4=0,"",COUNTIFS(offres!$C$2:$C$5000,$A4,offres!$D$2:$D$5000,$B4,offres!$P$2:$P$5000,"active",offres!$N$2:$N$5000,"&gt;30")/$C4)</f>
        <v/>
      </c>
    </row>
    <row r="5" customFormat="false" ht="15" hidden="false" customHeight="false" outlineLevel="0" collapsed="false">
      <c r="A5" s="12" t="str">
        <f aca="false">config_metiers_zones!$A$3</f>
        <v>Électricien du bâtiment</v>
      </c>
      <c r="B5" s="12" t="str">
        <f aca="false">config_metiers_zones!$A$12</f>
        <v>Lyon (Rhône)</v>
      </c>
      <c r="C5" s="13" t="n">
        <f aca="false">COUNTIFS(offres!$C$2:$C$5000,$A5,offres!$D$2:$D$5000,$B5,offres!$P$2:$P$5000,"active")</f>
        <v>0</v>
      </c>
      <c r="D5" s="14" t="str">
        <f aca="false">IFERROR(AVERAGEIFS(offres!$N$2:$N$5000,offres!$C$2:$C$5000,$A5,offres!$D$2:$D$5000,$B5,offres!$P$2:$P$5000,"active"),"")</f>
        <v/>
      </c>
      <c r="E5" s="13" t="n">
        <f aca="false">COUNTIFS(offres!$C$2:$C$5000,$A5,offres!$D$2:$D$5000,$B5,offres!$P$2:$P$5000,"active",offres!$O$2:$O$5000,TRUE())</f>
        <v>0</v>
      </c>
      <c r="F5" s="15" t="str">
        <f aca="false">IF($C5=0,"",COUNTIFS(offres!$C$2:$C$5000,$A5,offres!$D$2:$D$5000,$B5,offres!$P$2:$P$5000,"active",offres!$L$2:$L$5000,TRUE())/$C5)</f>
        <v/>
      </c>
      <c r="G5" s="15" t="str">
        <f aca="false">IF($C5=0,"",COUNTIFS(offres!$C$2:$C$5000,$A5,offres!$D$2:$D$5000,$B5,offres!$P$2:$P$5000,"active",offres!$N$2:$N$5000,"&gt;30")/$C5)</f>
        <v/>
      </c>
    </row>
    <row r="6" customFormat="false" ht="15" hidden="false" customHeight="false" outlineLevel="0" collapsed="false">
      <c r="A6" s="12" t="str">
        <f aca="false">config_metiers_zones!$A$4</f>
        <v>Plombier</v>
      </c>
      <c r="B6" s="12" t="str">
        <f aca="false">config_metiers_zones!$A$11</f>
        <v>Île-de-France</v>
      </c>
      <c r="C6" s="13" t="n">
        <f aca="false">COUNTIFS(offres!$C$2:$C$5000,$A6,offres!$D$2:$D$5000,$B6,offres!$P$2:$P$5000,"active")</f>
        <v>0</v>
      </c>
      <c r="D6" s="14" t="str">
        <f aca="false">IFERROR(AVERAGEIFS(offres!$N$2:$N$5000,offres!$C$2:$C$5000,$A6,offres!$D$2:$D$5000,$B6,offres!$P$2:$P$5000,"active"),"")</f>
        <v/>
      </c>
      <c r="E6" s="13" t="n">
        <f aca="false">COUNTIFS(offres!$C$2:$C$5000,$A6,offres!$D$2:$D$5000,$B6,offres!$P$2:$P$5000,"active",offres!$O$2:$O$5000,TRUE())</f>
        <v>0</v>
      </c>
      <c r="F6" s="15" t="str">
        <f aca="false">IF($C6=0,"",COUNTIFS(offres!$C$2:$C$5000,$A6,offres!$D$2:$D$5000,$B6,offres!$P$2:$P$5000,"active",offres!$L$2:$L$5000,TRUE())/$C6)</f>
        <v/>
      </c>
      <c r="G6" s="15" t="str">
        <f aca="false">IF($C6=0,"",COUNTIFS(offres!$C$2:$C$5000,$A6,offres!$D$2:$D$5000,$B6,offres!$P$2:$P$5000,"active",offres!$N$2:$N$5000,"&gt;30")/$C6)</f>
        <v/>
      </c>
    </row>
    <row r="7" customFormat="false" ht="15" hidden="false" customHeight="false" outlineLevel="0" collapsed="false">
      <c r="A7" s="12" t="str">
        <f aca="false">config_metiers_zones!$A$4</f>
        <v>Plombier</v>
      </c>
      <c r="B7" s="12" t="str">
        <f aca="false">config_metiers_zones!$A$12</f>
        <v>Lyon (Rhône)</v>
      </c>
      <c r="C7" s="13" t="n">
        <f aca="false">COUNTIFS(offres!$C$2:$C$5000,$A7,offres!$D$2:$D$5000,$B7,offres!$P$2:$P$5000,"active")</f>
        <v>0</v>
      </c>
      <c r="D7" s="14" t="str">
        <f aca="false">IFERROR(AVERAGEIFS(offres!$N$2:$N$5000,offres!$C$2:$C$5000,$A7,offres!$D$2:$D$5000,$B7,offres!$P$2:$P$5000,"active"),"")</f>
        <v/>
      </c>
      <c r="E7" s="13" t="n">
        <f aca="false">COUNTIFS(offres!$C$2:$C$5000,$A7,offres!$D$2:$D$5000,$B7,offres!$P$2:$P$5000,"active",offres!$O$2:$O$5000,TRUE())</f>
        <v>0</v>
      </c>
      <c r="F7" s="15" t="str">
        <f aca="false">IF($C7=0,"",COUNTIFS(offres!$C$2:$C$5000,$A7,offres!$D$2:$D$5000,$B7,offres!$P$2:$P$5000,"active",offres!$L$2:$L$5000,TRUE())/$C7)</f>
        <v/>
      </c>
      <c r="G7" s="15" t="str">
        <f aca="false">IF($C7=0,"",COUNTIFS(offres!$C$2:$C$5000,$A7,offres!$D$2:$D$5000,$B7,offres!$P$2:$P$5000,"active",offres!$N$2:$N$5000,"&gt;30")/$C7)</f>
        <v/>
      </c>
    </row>
    <row r="8" customFormat="false" ht="15" hidden="false" customHeight="false" outlineLevel="0" collapsed="false">
      <c r="A8" s="12" t="str">
        <f aca="false">config_metiers_zones!$A$5</f>
        <v>Mécanicien automobile</v>
      </c>
      <c r="B8" s="12" t="str">
        <f aca="false">config_metiers_zones!$A$11</f>
        <v>Île-de-France</v>
      </c>
      <c r="C8" s="13" t="n">
        <f aca="false">COUNTIFS(offres!$C$2:$C$5000,$A8,offres!$D$2:$D$5000,$B8,offres!$P$2:$P$5000,"active")</f>
        <v>0</v>
      </c>
      <c r="D8" s="14" t="str">
        <f aca="false">IFERROR(AVERAGEIFS(offres!$N$2:$N$5000,offres!$C$2:$C$5000,$A8,offres!$D$2:$D$5000,$B8,offres!$P$2:$P$5000,"active"),"")</f>
        <v/>
      </c>
      <c r="E8" s="13" t="n">
        <f aca="false">COUNTIFS(offres!$C$2:$C$5000,$A8,offres!$D$2:$D$5000,$B8,offres!$P$2:$P$5000,"active",offres!$O$2:$O$5000,TRUE())</f>
        <v>0</v>
      </c>
      <c r="F8" s="15" t="str">
        <f aca="false">IF($C8=0,"",COUNTIFS(offres!$C$2:$C$5000,$A8,offres!$D$2:$D$5000,$B8,offres!$P$2:$P$5000,"active",offres!$L$2:$L$5000,TRUE())/$C8)</f>
        <v/>
      </c>
      <c r="G8" s="15" t="str">
        <f aca="false">IF($C8=0,"",COUNTIFS(offres!$C$2:$C$5000,$A8,offres!$D$2:$D$5000,$B8,offres!$P$2:$P$5000,"active",offres!$N$2:$N$5000,"&gt;30")/$C8)</f>
        <v/>
      </c>
    </row>
    <row r="9" customFormat="false" ht="15" hidden="false" customHeight="false" outlineLevel="0" collapsed="false">
      <c r="A9" s="12" t="str">
        <f aca="false">config_metiers_zones!$A$5</f>
        <v>Mécanicien automobile</v>
      </c>
      <c r="B9" s="12" t="str">
        <f aca="false">config_metiers_zones!$A$12</f>
        <v>Lyon (Rhône)</v>
      </c>
      <c r="C9" s="13" t="n">
        <f aca="false">COUNTIFS(offres!$C$2:$C$5000,$A9,offres!$D$2:$D$5000,$B9,offres!$P$2:$P$5000,"active")</f>
        <v>0</v>
      </c>
      <c r="D9" s="14" t="str">
        <f aca="false">IFERROR(AVERAGEIFS(offres!$N$2:$N$5000,offres!$C$2:$C$5000,$A9,offres!$D$2:$D$5000,$B9,offres!$P$2:$P$5000,"active"),"")</f>
        <v/>
      </c>
      <c r="E9" s="13" t="n">
        <f aca="false">COUNTIFS(offres!$C$2:$C$5000,$A9,offres!$D$2:$D$5000,$B9,offres!$P$2:$P$5000,"active",offres!$O$2:$O$5000,TRUE())</f>
        <v>0</v>
      </c>
      <c r="F9" s="15" t="str">
        <f aca="false">IF($C9=0,"",COUNTIFS(offres!$C$2:$C$5000,$A9,offres!$D$2:$D$5000,$B9,offres!$P$2:$P$5000,"active",offres!$L$2:$L$5000,TRUE())/$C9)</f>
        <v/>
      </c>
      <c r="G9" s="15" t="str">
        <f aca="false">IF($C9=0,"",COUNTIFS(offres!$C$2:$C$5000,$A9,offres!$D$2:$D$5000,$B9,offres!$P$2:$P$5000,"active",offres!$N$2:$N$5000,"&gt;30")/$C9)</f>
        <v/>
      </c>
    </row>
    <row r="10" customFormat="false" ht="15" hidden="false" customHeight="false" outlineLevel="0" collapsed="false">
      <c r="A10" s="12" t="str">
        <f aca="false">config_metiers_zones!$A$6</f>
        <v>Mécanicien poids lourd</v>
      </c>
      <c r="B10" s="12" t="str">
        <f aca="false">config_metiers_zones!$A$11</f>
        <v>Île-de-France</v>
      </c>
      <c r="C10" s="13" t="n">
        <f aca="false">COUNTIFS(offres!$C$2:$C$5000,$A10,offres!$D$2:$D$5000,$B10,offres!$P$2:$P$5000,"active")</f>
        <v>0</v>
      </c>
      <c r="D10" s="14" t="str">
        <f aca="false">IFERROR(AVERAGEIFS(offres!$N$2:$N$5000,offres!$C$2:$C$5000,$A10,offres!$D$2:$D$5000,$B10,offres!$P$2:$P$5000,"active"),"")</f>
        <v/>
      </c>
      <c r="E10" s="13" t="n">
        <f aca="false">COUNTIFS(offres!$C$2:$C$5000,$A10,offres!$D$2:$D$5000,$B10,offres!$P$2:$P$5000,"active",offres!$O$2:$O$5000,TRUE())</f>
        <v>0</v>
      </c>
      <c r="F10" s="15" t="str">
        <f aca="false">IF($C10=0,"",COUNTIFS(offres!$C$2:$C$5000,$A10,offres!$D$2:$D$5000,$B10,offres!$P$2:$P$5000,"active",offres!$L$2:$L$5000,TRUE())/$C10)</f>
        <v/>
      </c>
      <c r="G10" s="15" t="str">
        <f aca="false">IF($C10=0,"",COUNTIFS(offres!$C$2:$C$5000,$A10,offres!$D$2:$D$5000,$B10,offres!$P$2:$P$5000,"active",offres!$N$2:$N$5000,"&gt;30")/$C10)</f>
        <v/>
      </c>
    </row>
    <row r="11" customFormat="false" ht="15" hidden="false" customHeight="false" outlineLevel="0" collapsed="false">
      <c r="A11" s="12" t="str">
        <f aca="false">config_metiers_zones!$A$6</f>
        <v>Mécanicien poids lourd</v>
      </c>
      <c r="B11" s="12" t="str">
        <f aca="false">config_metiers_zones!$A$12</f>
        <v>Lyon (Rhône)</v>
      </c>
      <c r="C11" s="13" t="n">
        <f aca="false">COUNTIFS(offres!$C$2:$C$5000,$A11,offres!$D$2:$D$5000,$B11,offres!$P$2:$P$5000,"active")</f>
        <v>0</v>
      </c>
      <c r="D11" s="14" t="str">
        <f aca="false">IFERROR(AVERAGEIFS(offres!$N$2:$N$5000,offres!$C$2:$C$5000,$A11,offres!$D$2:$D$5000,$B11,offres!$P$2:$P$5000,"active"),"")</f>
        <v/>
      </c>
      <c r="E11" s="13" t="n">
        <f aca="false">COUNTIFS(offres!$C$2:$C$5000,$A11,offres!$D$2:$D$5000,$B11,offres!$P$2:$P$5000,"active",offres!$O$2:$O$5000,TRUE())</f>
        <v>0</v>
      </c>
      <c r="F11" s="15" t="str">
        <f aca="false">IF($C11=0,"",COUNTIFS(offres!$C$2:$C$5000,$A11,offres!$D$2:$D$5000,$B11,offres!$P$2:$P$5000,"active",offres!$L$2:$L$5000,TRUE())/$C11)</f>
        <v/>
      </c>
      <c r="G11" s="15" t="str">
        <f aca="false">IF($C11=0,"",COUNTIFS(offres!$C$2:$C$5000,$A11,offres!$D$2:$D$5000,$B11,offres!$P$2:$P$5000,"active",offres!$N$2:$N$5000,"&gt;30")/$C11)</f>
        <v/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11" t="s">
        <v>76</v>
      </c>
      <c r="B13" s="2"/>
      <c r="C13" s="2"/>
      <c r="D13" s="2"/>
      <c r="E13" s="2"/>
      <c r="F13" s="2"/>
      <c r="G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5" t="s">
        <v>77</v>
      </c>
      <c r="B1" s="5" t="s">
        <v>18</v>
      </c>
      <c r="C1" s="5" t="s">
        <v>36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78</v>
      </c>
      <c r="J1" s="5" t="s">
        <v>79</v>
      </c>
      <c r="K1" s="5" t="s">
        <v>80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50"/>
  </cols>
  <sheetData>
    <row r="1" customFormat="false" ht="30" hidden="false" customHeight="true" outlineLevel="0" collapsed="false">
      <c r="A1" s="5" t="s">
        <v>81</v>
      </c>
      <c r="B1" s="5" t="s">
        <v>82</v>
      </c>
      <c r="C1" s="5" t="s">
        <v>65</v>
      </c>
      <c r="D1" s="5" t="s">
        <v>18</v>
      </c>
      <c r="E1" s="5" t="s">
        <v>36</v>
      </c>
      <c r="F1" s="5" t="s">
        <v>83</v>
      </c>
      <c r="G1" s="5" t="s">
        <v>84</v>
      </c>
      <c r="H1" s="5" t="s">
        <v>85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24"/>
    <col collapsed="false" customWidth="true" hidden="false" outlineLevel="0" max="5" min="5" style="0" width="6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5" t="s">
        <v>86</v>
      </c>
      <c r="B1" s="5" t="s">
        <v>82</v>
      </c>
      <c r="C1" s="5" t="s">
        <v>87</v>
      </c>
      <c r="D1" s="5" t="s">
        <v>88</v>
      </c>
      <c r="E1" s="5" t="s">
        <v>85</v>
      </c>
      <c r="F1" s="5" t="s">
        <v>89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4"/>
  </cols>
  <sheetData>
    <row r="1" customFormat="false" ht="30" hidden="false" customHeight="true" outlineLevel="0" collapsed="false">
      <c r="A1" s="5" t="s">
        <v>90</v>
      </c>
      <c r="B1" s="5" t="s">
        <v>91</v>
      </c>
      <c r="C1" s="5" t="s">
        <v>92</v>
      </c>
      <c r="D1" s="5" t="s">
        <v>93</v>
      </c>
    </row>
    <row r="2" customFormat="false" ht="15" hidden="false" customHeight="false" outlineLevel="0" collapsed="false">
      <c r="A2" s="4" t="s">
        <v>94</v>
      </c>
      <c r="B2" s="4" t="s">
        <v>48</v>
      </c>
      <c r="C2" s="4" t="s">
        <v>95</v>
      </c>
      <c r="D2" s="4" t="s">
        <v>96</v>
      </c>
    </row>
    <row r="3" customFormat="false" ht="15" hidden="false" customHeight="false" outlineLevel="0" collapsed="false">
      <c r="A3" s="4" t="s">
        <v>94</v>
      </c>
      <c r="B3" s="4" t="s">
        <v>49</v>
      </c>
      <c r="C3" s="4" t="s">
        <v>97</v>
      </c>
      <c r="D3" s="4" t="s">
        <v>98</v>
      </c>
    </row>
    <row r="4" customFormat="false" ht="15" hidden="false" customHeight="false" outlineLevel="0" collapsed="false">
      <c r="A4" s="4" t="s">
        <v>94</v>
      </c>
      <c r="B4" s="4" t="s">
        <v>99</v>
      </c>
      <c r="C4" s="4" t="s">
        <v>100</v>
      </c>
      <c r="D4" s="4" t="s">
        <v>101</v>
      </c>
    </row>
    <row r="5" customFormat="false" ht="15" hidden="false" customHeight="false" outlineLevel="0" collapsed="false">
      <c r="A5" s="4" t="s">
        <v>94</v>
      </c>
      <c r="B5" s="4" t="s">
        <v>50</v>
      </c>
      <c r="C5" s="4" t="s">
        <v>102</v>
      </c>
      <c r="D5" s="4" t="s">
        <v>103</v>
      </c>
    </row>
    <row r="6" customFormat="false" ht="15" hidden="false" customHeight="false" outlineLevel="0" collapsed="false">
      <c r="A6" s="4" t="s">
        <v>94</v>
      </c>
      <c r="B6" s="4" t="s">
        <v>51</v>
      </c>
      <c r="C6" s="4" t="s">
        <v>104</v>
      </c>
      <c r="D6" s="4" t="s">
        <v>105</v>
      </c>
    </row>
    <row r="7" customFormat="false" ht="15" hidden="false" customHeight="false" outlineLevel="0" collapsed="false">
      <c r="A7" s="4" t="s">
        <v>94</v>
      </c>
      <c r="B7" s="4" t="s">
        <v>54</v>
      </c>
      <c r="C7" s="4" t="s">
        <v>106</v>
      </c>
      <c r="D7" s="4" t="s">
        <v>107</v>
      </c>
    </row>
    <row r="8" customFormat="false" ht="15" hidden="false" customHeight="false" outlineLevel="0" collapsed="false">
      <c r="A8" s="4" t="s">
        <v>94</v>
      </c>
      <c r="B8" s="4" t="s">
        <v>55</v>
      </c>
      <c r="C8" s="4" t="s">
        <v>108</v>
      </c>
      <c r="D8" s="4" t="s">
        <v>109</v>
      </c>
    </row>
    <row r="9" customFormat="false" ht="15" hidden="false" customHeight="false" outlineLevel="0" collapsed="false">
      <c r="A9" s="4" t="s">
        <v>94</v>
      </c>
      <c r="B9" s="4" t="s">
        <v>56</v>
      </c>
      <c r="C9" s="4" t="s">
        <v>110</v>
      </c>
      <c r="D9" s="4" t="s">
        <v>111</v>
      </c>
    </row>
    <row r="10" customFormat="false" ht="15" hidden="false" customHeight="false" outlineLevel="0" collapsed="false">
      <c r="A10" s="4" t="s">
        <v>94</v>
      </c>
      <c r="B10" s="4" t="s">
        <v>57</v>
      </c>
      <c r="C10" s="4" t="s">
        <v>112</v>
      </c>
      <c r="D10" s="4" t="s">
        <v>113</v>
      </c>
    </row>
    <row r="11" customFormat="false" ht="23.85" hidden="false" customHeight="false" outlineLevel="0" collapsed="false">
      <c r="A11" s="4" t="s">
        <v>94</v>
      </c>
      <c r="B11" s="4" t="s">
        <v>58</v>
      </c>
      <c r="C11" s="4" t="s">
        <v>114</v>
      </c>
      <c r="D11" s="4" t="s">
        <v>115</v>
      </c>
    </row>
    <row r="12" customFormat="false" ht="15" hidden="false" customHeight="false" outlineLevel="0" collapsed="false">
      <c r="A12" s="4" t="s">
        <v>94</v>
      </c>
      <c r="B12" s="4" t="s">
        <v>59</v>
      </c>
      <c r="C12" s="4" t="s">
        <v>116</v>
      </c>
      <c r="D12" s="4" t="s">
        <v>117</v>
      </c>
    </row>
    <row r="13" customFormat="false" ht="15" hidden="false" customHeight="false" outlineLevel="0" collapsed="false">
      <c r="A13" s="4" t="s">
        <v>118</v>
      </c>
      <c r="B13" s="4" t="s">
        <v>64</v>
      </c>
      <c r="C13" s="4" t="s">
        <v>119</v>
      </c>
      <c r="D13" s="4" t="s">
        <v>120</v>
      </c>
    </row>
    <row r="14" customFormat="false" ht="15" hidden="false" customHeight="false" outlineLevel="0" collapsed="false">
      <c r="A14" s="4" t="s">
        <v>121</v>
      </c>
      <c r="B14" s="4" t="s">
        <v>69</v>
      </c>
      <c r="C14" s="4" t="s">
        <v>122</v>
      </c>
      <c r="D14" s="4" t="s">
        <v>123</v>
      </c>
    </row>
    <row r="15" customFormat="false" ht="23.85" hidden="false" customHeight="false" outlineLevel="0" collapsed="false">
      <c r="A15" s="4" t="s">
        <v>124</v>
      </c>
      <c r="B15" s="4" t="s">
        <v>125</v>
      </c>
      <c r="C15" s="4" t="s">
        <v>126</v>
      </c>
      <c r="D15" s="4" t="s">
        <v>127</v>
      </c>
    </row>
    <row r="16" customFormat="false" ht="15" hidden="false" customHeight="false" outlineLevel="0" collapsed="false">
      <c r="A16" s="4" t="s">
        <v>128</v>
      </c>
      <c r="B16" s="4" t="s">
        <v>83</v>
      </c>
      <c r="C16" s="4" t="s">
        <v>129</v>
      </c>
      <c r="D16" s="4" t="s">
        <v>130</v>
      </c>
    </row>
    <row r="17" customFormat="false" ht="15" hidden="false" customHeight="false" outlineLevel="0" collapsed="false">
      <c r="A17" s="4" t="s">
        <v>128</v>
      </c>
      <c r="B17" s="4" t="s">
        <v>85</v>
      </c>
      <c r="C17" s="4" t="s">
        <v>131</v>
      </c>
      <c r="D17" s="4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2026-09-29T17:00:27Z</dcterms:created>
  <dc:creator>openpyxl</dc:creator>
  <dc:description/>
  <dc:language>en-US</dc:language>
  <cp:lastModifiedBy/>
  <dcterms:modified xsi:type="dcterms:W3CDTF">2026-09-29T17:00:27Z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